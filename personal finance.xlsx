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ghu\Documents\"/>
    </mc:Choice>
  </mc:AlternateContent>
  <xr:revisionPtr revIDLastSave="0" documentId="8_{D17162A8-4833-417A-A7FE-12FDFC423335}" xr6:coauthVersionLast="47" xr6:coauthVersionMax="47" xr10:uidLastSave="{00000000-0000-0000-0000-000000000000}"/>
  <bookViews>
    <workbookView xWindow="-108" yWindow="-108" windowWidth="23256" windowHeight="13896" xr2:uid="{D0E726CE-7BB1-4A42-AF27-2C4F02B7E7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H23" i="1"/>
  <c r="H19" i="1"/>
  <c r="H15" i="1"/>
  <c r="H11" i="1"/>
  <c r="H6" i="1"/>
</calcChain>
</file>

<file path=xl/sharedStrings.xml><?xml version="1.0" encoding="utf-8"?>
<sst xmlns="http://schemas.openxmlformats.org/spreadsheetml/2006/main" count="196" uniqueCount="47">
  <si>
    <t>Date</t>
  </si>
  <si>
    <t>Month</t>
  </si>
  <si>
    <t>Category</t>
  </si>
  <si>
    <t>Discription</t>
  </si>
  <si>
    <t>Actual amount</t>
  </si>
  <si>
    <t>Column1</t>
  </si>
  <si>
    <t>Column2</t>
  </si>
  <si>
    <t>Column3</t>
  </si>
  <si>
    <t>Column4</t>
  </si>
  <si>
    <t>Column5</t>
  </si>
  <si>
    <t>January</t>
  </si>
  <si>
    <t>Rent</t>
  </si>
  <si>
    <t>House Rent</t>
  </si>
  <si>
    <t>Food</t>
  </si>
  <si>
    <t>Groceries</t>
  </si>
  <si>
    <t>Transport</t>
  </si>
  <si>
    <t>Bus&amp;Fuel</t>
  </si>
  <si>
    <t>Total Expences</t>
  </si>
  <si>
    <t>Entertainment</t>
  </si>
  <si>
    <t>Movies</t>
  </si>
  <si>
    <t>Utilities</t>
  </si>
  <si>
    <t>Electricity bill</t>
  </si>
  <si>
    <t>February</t>
  </si>
  <si>
    <t>Total Expences by Category(Food)</t>
  </si>
  <si>
    <t>Water&amp;Power</t>
  </si>
  <si>
    <t>March</t>
  </si>
  <si>
    <t>Average</t>
  </si>
  <si>
    <t>Bus pass</t>
  </si>
  <si>
    <t>Outgoing</t>
  </si>
  <si>
    <t>April</t>
  </si>
  <si>
    <t>Total expences by month</t>
  </si>
  <si>
    <t>Fuel</t>
  </si>
  <si>
    <t>Total expenses by month and category</t>
  </si>
  <si>
    <t>May</t>
  </si>
  <si>
    <t>Shopping</t>
  </si>
  <si>
    <t>June</t>
  </si>
  <si>
    <t>avg expanses by month</t>
  </si>
  <si>
    <t>Trip</t>
  </si>
  <si>
    <t>July</t>
  </si>
  <si>
    <t>August</t>
  </si>
  <si>
    <t>September</t>
  </si>
  <si>
    <t>October</t>
  </si>
  <si>
    <t>Festival Shopping</t>
  </si>
  <si>
    <t>November</t>
  </si>
  <si>
    <t>December</t>
  </si>
  <si>
    <t>Travel</t>
  </si>
  <si>
    <t>Year-End 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</si>
</sst>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vertical="center"/>
    </xf>
    <xf numFmtId="0" fontId="0" fillId="3" borderId="0" xfId="0" applyFill="1"/>
    <xf numFmtId="0" fontId="0" fillId="2" borderId="0" xfId="0" applyFill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E0B06B-453F-4BC1-8F99-9B9627DE15C6}" name="Table1" displayName="Table1" ref="A2:E62" totalsRowShown="0">
  <autoFilter ref="A2:E62" xr:uid="{23E0B06B-453F-4BC1-8F99-9B9627DE15C6}"/>
  <tableColumns count="5">
    <tableColumn id="1" xr3:uid="{527C32FC-CD29-4A6E-A4AF-B255BDF3B9FC}" name="Column1" dataDxfId="0"/>
    <tableColumn id="2" xr3:uid="{D3A8ED1A-3A66-4877-80AB-F6E102246C05}" name="Column2"/>
    <tableColumn id="3" xr3:uid="{ED3DBF7F-9369-4679-92FE-481E69799C55}" name="Column3"/>
    <tableColumn id="4" xr3:uid="{45AD3355-4C7C-4E3F-A939-08B6DD0BE767}" name="Column4"/>
    <tableColumn id="5" xr3:uid="{BB1D06A5-436A-496A-BFB6-A0B22F34C6A1}" name="Column5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E6261-80C5-47C8-8CBB-827617E27A1E}">
  <dimension ref="A1:H71"/>
  <sheetViews>
    <sheetView tabSelected="1" workbookViewId="0">
      <selection activeCell="G10" sqref="G10"/>
    </sheetView>
  </sheetViews>
  <sheetFormatPr defaultRowHeight="14.4" x14ac:dyDescent="0.3"/>
  <cols>
    <col min="1" max="1" width="10.33203125" bestFit="1" customWidth="1"/>
    <col min="2" max="2" width="10.109375" customWidth="1"/>
    <col min="3" max="3" width="13.44140625" customWidth="1"/>
    <col min="4" max="4" width="17.6640625" customWidth="1"/>
    <col min="5" max="5" width="16.77734375" customWidth="1"/>
    <col min="8" max="8" width="32.33203125" customWidth="1"/>
  </cols>
  <sheetData>
    <row r="1" spans="1:8" ht="15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</row>
    <row r="2" spans="1:8" x14ac:dyDescent="0.3">
      <c r="A2" s="4" t="s">
        <v>5</v>
      </c>
      <c r="B2" t="s">
        <v>6</v>
      </c>
      <c r="C2" t="s">
        <v>7</v>
      </c>
      <c r="D2" t="s">
        <v>8</v>
      </c>
      <c r="E2" t="s">
        <v>9</v>
      </c>
    </row>
    <row r="3" spans="1:8" x14ac:dyDescent="0.3">
      <c r="A3" s="4">
        <v>45662</v>
      </c>
      <c r="B3" t="s">
        <v>10</v>
      </c>
      <c r="C3" t="s">
        <v>11</v>
      </c>
      <c r="D3" t="s">
        <v>12</v>
      </c>
      <c r="E3">
        <v>12000</v>
      </c>
    </row>
    <row r="4" spans="1:8" x14ac:dyDescent="0.3">
      <c r="A4" s="4">
        <v>45665</v>
      </c>
      <c r="B4" t="s">
        <v>10</v>
      </c>
      <c r="C4" t="s">
        <v>13</v>
      </c>
      <c r="D4" t="s">
        <v>14</v>
      </c>
      <c r="E4">
        <v>4200</v>
      </c>
    </row>
    <row r="5" spans="1:8" x14ac:dyDescent="0.3">
      <c r="A5" s="4">
        <v>45669</v>
      </c>
      <c r="B5" t="s">
        <v>10</v>
      </c>
      <c r="C5" t="s">
        <v>15</v>
      </c>
      <c r="D5" t="s">
        <v>16</v>
      </c>
      <c r="E5">
        <v>2800</v>
      </c>
      <c r="H5" s="5" t="s">
        <v>17</v>
      </c>
    </row>
    <row r="6" spans="1:8" x14ac:dyDescent="0.3">
      <c r="A6" s="4">
        <v>45675</v>
      </c>
      <c r="B6" t="s">
        <v>10</v>
      </c>
      <c r="C6" t="s">
        <v>18</v>
      </c>
      <c r="D6" t="s">
        <v>19</v>
      </c>
      <c r="E6">
        <v>2300</v>
      </c>
      <c r="H6" s="6">
        <f>SUM(E3:E62)</f>
        <v>295000</v>
      </c>
    </row>
    <row r="7" spans="1:8" x14ac:dyDescent="0.3">
      <c r="A7" s="4">
        <v>45682</v>
      </c>
      <c r="B7" t="s">
        <v>10</v>
      </c>
      <c r="C7" t="s">
        <v>20</v>
      </c>
      <c r="D7" t="s">
        <v>21</v>
      </c>
      <c r="E7">
        <v>2600</v>
      </c>
    </row>
    <row r="8" spans="1:8" x14ac:dyDescent="0.3">
      <c r="A8" s="4">
        <v>45693</v>
      </c>
      <c r="B8" t="s">
        <v>22</v>
      </c>
      <c r="C8" t="s">
        <v>11</v>
      </c>
      <c r="D8" t="s">
        <v>12</v>
      </c>
      <c r="E8">
        <v>12000</v>
      </c>
    </row>
    <row r="9" spans="1:8" x14ac:dyDescent="0.3">
      <c r="A9" s="4">
        <v>45697</v>
      </c>
      <c r="B9" t="s">
        <v>22</v>
      </c>
      <c r="C9" t="s">
        <v>13</v>
      </c>
      <c r="D9" t="s">
        <v>14</v>
      </c>
      <c r="E9">
        <v>5100</v>
      </c>
    </row>
    <row r="10" spans="1:8" x14ac:dyDescent="0.3">
      <c r="A10" s="4">
        <v>45700</v>
      </c>
      <c r="B10" t="s">
        <v>22</v>
      </c>
      <c r="C10" t="s">
        <v>15</v>
      </c>
      <c r="D10" t="s">
        <v>16</v>
      </c>
      <c r="E10">
        <v>3200</v>
      </c>
      <c r="H10" s="2" t="s">
        <v>23</v>
      </c>
    </row>
    <row r="11" spans="1:8" x14ac:dyDescent="0.3">
      <c r="A11" s="4">
        <v>45706</v>
      </c>
      <c r="B11" t="s">
        <v>22</v>
      </c>
      <c r="C11" t="s">
        <v>18</v>
      </c>
      <c r="D11" t="s">
        <v>19</v>
      </c>
      <c r="E11">
        <v>1900</v>
      </c>
      <c r="H11" s="6">
        <f>SUMIF(C:C,"food",E:E)</f>
        <v>55800</v>
      </c>
    </row>
    <row r="12" spans="1:8" x14ac:dyDescent="0.3">
      <c r="A12" s="4">
        <v>45712</v>
      </c>
      <c r="B12" t="s">
        <v>22</v>
      </c>
      <c r="C12" t="s">
        <v>20</v>
      </c>
      <c r="D12" t="s">
        <v>24</v>
      </c>
      <c r="E12">
        <v>2400</v>
      </c>
    </row>
    <row r="13" spans="1:8" x14ac:dyDescent="0.3">
      <c r="A13" s="4">
        <v>45721</v>
      </c>
      <c r="B13" t="s">
        <v>25</v>
      </c>
      <c r="C13" t="s">
        <v>11</v>
      </c>
      <c r="D13" t="s">
        <v>12</v>
      </c>
      <c r="E13">
        <v>12000</v>
      </c>
    </row>
    <row r="14" spans="1:8" x14ac:dyDescent="0.3">
      <c r="A14" s="4">
        <v>45724</v>
      </c>
      <c r="B14" t="s">
        <v>25</v>
      </c>
      <c r="C14" t="s">
        <v>13</v>
      </c>
      <c r="D14" t="s">
        <v>14</v>
      </c>
      <c r="E14">
        <v>3900</v>
      </c>
      <c r="H14" s="2" t="s">
        <v>26</v>
      </c>
    </row>
    <row r="15" spans="1:8" x14ac:dyDescent="0.3">
      <c r="A15" s="4">
        <v>45730</v>
      </c>
      <c r="B15" t="s">
        <v>25</v>
      </c>
      <c r="C15" t="s">
        <v>15</v>
      </c>
      <c r="D15" t="s">
        <v>27</v>
      </c>
      <c r="E15">
        <v>2600</v>
      </c>
      <c r="H15" s="6">
        <f>AVERAGE(E3:E62)</f>
        <v>4916.666666666667</v>
      </c>
    </row>
    <row r="16" spans="1:8" x14ac:dyDescent="0.3">
      <c r="A16" s="4">
        <v>45736</v>
      </c>
      <c r="B16" t="s">
        <v>25</v>
      </c>
      <c r="C16" t="s">
        <v>18</v>
      </c>
      <c r="D16" t="s">
        <v>28</v>
      </c>
      <c r="E16">
        <v>1500</v>
      </c>
    </row>
    <row r="17" spans="1:8" x14ac:dyDescent="0.3">
      <c r="A17" s="4">
        <v>45742</v>
      </c>
      <c r="B17" t="s">
        <v>25</v>
      </c>
      <c r="C17" t="s">
        <v>20</v>
      </c>
      <c r="D17" t="s">
        <v>21</v>
      </c>
      <c r="E17">
        <v>2300</v>
      </c>
    </row>
    <row r="18" spans="1:8" x14ac:dyDescent="0.3">
      <c r="A18" s="4">
        <v>45752</v>
      </c>
      <c r="B18" t="s">
        <v>29</v>
      </c>
      <c r="C18" t="s">
        <v>11</v>
      </c>
      <c r="D18" t="s">
        <v>12</v>
      </c>
      <c r="E18">
        <v>12000</v>
      </c>
      <c r="H18" s="7" t="s">
        <v>30</v>
      </c>
    </row>
    <row r="19" spans="1:8" x14ac:dyDescent="0.3">
      <c r="A19" s="4">
        <v>45756</v>
      </c>
      <c r="B19" t="s">
        <v>29</v>
      </c>
      <c r="C19" t="s">
        <v>13</v>
      </c>
      <c r="D19" t="s">
        <v>14</v>
      </c>
      <c r="E19">
        <v>4500</v>
      </c>
      <c r="H19" s="6">
        <f>SUMIF(B:B,"January",E:E)</f>
        <v>23900</v>
      </c>
    </row>
    <row r="20" spans="1:8" x14ac:dyDescent="0.3">
      <c r="A20" s="4">
        <v>45760</v>
      </c>
      <c r="B20" t="s">
        <v>29</v>
      </c>
      <c r="C20" t="s">
        <v>15</v>
      </c>
      <c r="D20" t="s">
        <v>31</v>
      </c>
      <c r="E20">
        <v>3000</v>
      </c>
    </row>
    <row r="21" spans="1:8" x14ac:dyDescent="0.3">
      <c r="A21" s="4">
        <v>45766</v>
      </c>
      <c r="B21" t="s">
        <v>29</v>
      </c>
      <c r="C21" t="s">
        <v>18</v>
      </c>
      <c r="D21" t="s">
        <v>19</v>
      </c>
      <c r="E21">
        <v>2200</v>
      </c>
    </row>
    <row r="22" spans="1:8" x14ac:dyDescent="0.3">
      <c r="A22" s="4">
        <v>45772</v>
      </c>
      <c r="B22" t="s">
        <v>29</v>
      </c>
      <c r="C22" t="s">
        <v>20</v>
      </c>
      <c r="D22" t="s">
        <v>21</v>
      </c>
      <c r="E22">
        <v>2500</v>
      </c>
      <c r="H22" s="7" t="s">
        <v>32</v>
      </c>
    </row>
    <row r="23" spans="1:8" x14ac:dyDescent="0.3">
      <c r="A23" s="4">
        <v>45782</v>
      </c>
      <c r="B23" t="s">
        <v>33</v>
      </c>
      <c r="C23" t="s">
        <v>11</v>
      </c>
      <c r="D23" t="s">
        <v>12</v>
      </c>
      <c r="E23">
        <v>12000</v>
      </c>
      <c r="H23" s="6">
        <f>SUMIFS(E:E,B:B,"January",C:C,"Food")</f>
        <v>4200</v>
      </c>
    </row>
    <row r="24" spans="1:8" x14ac:dyDescent="0.3">
      <c r="A24" s="4">
        <v>45785</v>
      </c>
      <c r="B24" t="s">
        <v>33</v>
      </c>
      <c r="C24" t="s">
        <v>13</v>
      </c>
      <c r="D24" t="s">
        <v>14</v>
      </c>
      <c r="E24">
        <v>4800</v>
      </c>
    </row>
    <row r="25" spans="1:8" x14ac:dyDescent="0.3">
      <c r="A25" s="4">
        <v>45791</v>
      </c>
      <c r="B25" t="s">
        <v>33</v>
      </c>
      <c r="C25" t="s">
        <v>15</v>
      </c>
      <c r="D25" t="s">
        <v>31</v>
      </c>
      <c r="E25">
        <v>2900</v>
      </c>
    </row>
    <row r="26" spans="1:8" x14ac:dyDescent="0.3">
      <c r="A26" s="4">
        <v>45797</v>
      </c>
      <c r="B26" t="s">
        <v>33</v>
      </c>
      <c r="C26" t="s">
        <v>18</v>
      </c>
      <c r="D26" t="s">
        <v>34</v>
      </c>
      <c r="E26">
        <v>2100</v>
      </c>
    </row>
    <row r="27" spans="1:8" x14ac:dyDescent="0.3">
      <c r="A27" s="4">
        <v>45803</v>
      </c>
      <c r="B27" t="s">
        <v>33</v>
      </c>
      <c r="C27" t="s">
        <v>20</v>
      </c>
      <c r="D27" t="s">
        <v>21</v>
      </c>
      <c r="E27">
        <v>2600</v>
      </c>
    </row>
    <row r="28" spans="1:8" x14ac:dyDescent="0.3">
      <c r="A28" s="4">
        <v>45813</v>
      </c>
      <c r="B28" t="s">
        <v>35</v>
      </c>
      <c r="C28" t="s">
        <v>11</v>
      </c>
      <c r="D28" t="s">
        <v>12</v>
      </c>
      <c r="E28">
        <v>12000</v>
      </c>
      <c r="H28" s="7" t="s">
        <v>36</v>
      </c>
    </row>
    <row r="29" spans="1:8" x14ac:dyDescent="0.3">
      <c r="A29" s="4">
        <v>45817</v>
      </c>
      <c r="B29" t="s">
        <v>35</v>
      </c>
      <c r="C29" t="s">
        <v>13</v>
      </c>
      <c r="D29" t="s">
        <v>14</v>
      </c>
      <c r="E29">
        <v>5200</v>
      </c>
      <c r="H29" s="6">
        <f>AVERAGEIF(B:B,"January",E:E)</f>
        <v>4780</v>
      </c>
    </row>
    <row r="30" spans="1:8" x14ac:dyDescent="0.3">
      <c r="A30" s="4">
        <v>45821</v>
      </c>
      <c r="B30" t="s">
        <v>35</v>
      </c>
      <c r="C30" t="s">
        <v>15</v>
      </c>
      <c r="D30" t="s">
        <v>31</v>
      </c>
      <c r="E30">
        <v>3300</v>
      </c>
    </row>
    <row r="31" spans="1:8" x14ac:dyDescent="0.3">
      <c r="A31" s="4">
        <v>45826</v>
      </c>
      <c r="B31" t="s">
        <v>35</v>
      </c>
      <c r="C31" t="s">
        <v>18</v>
      </c>
      <c r="D31" t="s">
        <v>37</v>
      </c>
      <c r="E31">
        <v>2800</v>
      </c>
    </row>
    <row r="32" spans="1:8" x14ac:dyDescent="0.3">
      <c r="A32" s="4">
        <v>45833</v>
      </c>
      <c r="B32" t="s">
        <v>35</v>
      </c>
      <c r="C32" t="s">
        <v>20</v>
      </c>
      <c r="D32" t="s">
        <v>21</v>
      </c>
      <c r="E32">
        <v>2700</v>
      </c>
    </row>
    <row r="33" spans="1:5" x14ac:dyDescent="0.3">
      <c r="A33" s="4">
        <v>45843</v>
      </c>
      <c r="B33" t="s">
        <v>38</v>
      </c>
      <c r="C33" t="s">
        <v>11</v>
      </c>
      <c r="D33" t="s">
        <v>12</v>
      </c>
      <c r="E33">
        <v>12000</v>
      </c>
    </row>
    <row r="34" spans="1:5" x14ac:dyDescent="0.3">
      <c r="A34" s="4">
        <v>45846</v>
      </c>
      <c r="B34" t="s">
        <v>38</v>
      </c>
      <c r="C34" t="s">
        <v>13</v>
      </c>
      <c r="D34" t="s">
        <v>14</v>
      </c>
      <c r="E34">
        <v>4100</v>
      </c>
    </row>
    <row r="35" spans="1:5" x14ac:dyDescent="0.3">
      <c r="A35" s="4">
        <v>45850</v>
      </c>
      <c r="B35" t="s">
        <v>38</v>
      </c>
      <c r="C35" t="s">
        <v>15</v>
      </c>
      <c r="D35" t="s">
        <v>27</v>
      </c>
      <c r="E35">
        <v>2600</v>
      </c>
    </row>
    <row r="36" spans="1:5" x14ac:dyDescent="0.3">
      <c r="A36" s="4">
        <v>45857</v>
      </c>
      <c r="B36" t="s">
        <v>38</v>
      </c>
      <c r="C36" t="s">
        <v>18</v>
      </c>
      <c r="D36" t="s">
        <v>19</v>
      </c>
      <c r="E36">
        <v>1800</v>
      </c>
    </row>
    <row r="37" spans="1:5" x14ac:dyDescent="0.3">
      <c r="A37" s="4">
        <v>45864</v>
      </c>
      <c r="B37" t="s">
        <v>38</v>
      </c>
      <c r="C37" t="s">
        <v>20</v>
      </c>
      <c r="D37" t="s">
        <v>21</v>
      </c>
      <c r="E37">
        <v>2400</v>
      </c>
    </row>
    <row r="38" spans="1:5" x14ac:dyDescent="0.3">
      <c r="A38" s="4">
        <v>45874</v>
      </c>
      <c r="B38" t="s">
        <v>39</v>
      </c>
      <c r="C38" t="s">
        <v>11</v>
      </c>
      <c r="D38" t="s">
        <v>12</v>
      </c>
      <c r="E38">
        <v>12000</v>
      </c>
    </row>
    <row r="39" spans="1:5" x14ac:dyDescent="0.3">
      <c r="A39" s="4">
        <v>45878</v>
      </c>
      <c r="B39" t="s">
        <v>39</v>
      </c>
      <c r="C39" t="s">
        <v>13</v>
      </c>
      <c r="D39" t="s">
        <v>14</v>
      </c>
      <c r="E39">
        <v>4700</v>
      </c>
    </row>
    <row r="40" spans="1:5" x14ac:dyDescent="0.3">
      <c r="A40" s="4">
        <v>45883</v>
      </c>
      <c r="B40" t="s">
        <v>39</v>
      </c>
      <c r="C40" t="s">
        <v>15</v>
      </c>
      <c r="D40" t="s">
        <v>31</v>
      </c>
      <c r="E40">
        <v>3100</v>
      </c>
    </row>
    <row r="41" spans="1:5" x14ac:dyDescent="0.3">
      <c r="A41" s="4">
        <v>45889</v>
      </c>
      <c r="B41" t="s">
        <v>39</v>
      </c>
      <c r="C41" t="s">
        <v>18</v>
      </c>
      <c r="D41" t="s">
        <v>34</v>
      </c>
      <c r="E41">
        <v>2200</v>
      </c>
    </row>
    <row r="42" spans="1:5" x14ac:dyDescent="0.3">
      <c r="A42" s="4">
        <v>45895</v>
      </c>
      <c r="B42" t="s">
        <v>39</v>
      </c>
      <c r="C42" t="s">
        <v>20</v>
      </c>
      <c r="D42" t="s">
        <v>21</v>
      </c>
      <c r="E42">
        <v>2500</v>
      </c>
    </row>
    <row r="43" spans="1:5" x14ac:dyDescent="0.3">
      <c r="A43" s="4">
        <v>45905</v>
      </c>
      <c r="B43" t="s">
        <v>40</v>
      </c>
      <c r="C43" t="s">
        <v>11</v>
      </c>
      <c r="D43" t="s">
        <v>12</v>
      </c>
      <c r="E43">
        <v>12000</v>
      </c>
    </row>
    <row r="44" spans="1:5" x14ac:dyDescent="0.3">
      <c r="A44" s="4">
        <v>45908</v>
      </c>
      <c r="B44" t="s">
        <v>40</v>
      </c>
      <c r="C44" t="s">
        <v>13</v>
      </c>
      <c r="D44" t="s">
        <v>14</v>
      </c>
      <c r="E44">
        <v>4300</v>
      </c>
    </row>
    <row r="45" spans="1:5" x14ac:dyDescent="0.3">
      <c r="A45" s="4">
        <v>45913</v>
      </c>
      <c r="B45" t="s">
        <v>40</v>
      </c>
      <c r="C45" t="s">
        <v>15</v>
      </c>
      <c r="D45" t="s">
        <v>27</v>
      </c>
      <c r="E45">
        <v>2700</v>
      </c>
    </row>
    <row r="46" spans="1:5" x14ac:dyDescent="0.3">
      <c r="A46" s="4">
        <v>45918</v>
      </c>
      <c r="B46" t="s">
        <v>40</v>
      </c>
      <c r="C46" t="s">
        <v>18</v>
      </c>
      <c r="D46" t="s">
        <v>28</v>
      </c>
      <c r="E46">
        <v>2000</v>
      </c>
    </row>
    <row r="47" spans="1:5" x14ac:dyDescent="0.3">
      <c r="A47" s="4">
        <v>45925</v>
      </c>
      <c r="B47" t="s">
        <v>40</v>
      </c>
      <c r="C47" t="s">
        <v>20</v>
      </c>
      <c r="D47" t="s">
        <v>21</v>
      </c>
      <c r="E47">
        <v>2400</v>
      </c>
    </row>
    <row r="48" spans="1:5" x14ac:dyDescent="0.3">
      <c r="A48" s="4">
        <v>45935</v>
      </c>
      <c r="B48" t="s">
        <v>41</v>
      </c>
      <c r="C48" t="s">
        <v>11</v>
      </c>
      <c r="D48" t="s">
        <v>12</v>
      </c>
      <c r="E48">
        <v>12000</v>
      </c>
    </row>
    <row r="49" spans="1:5" x14ac:dyDescent="0.3">
      <c r="A49" s="4">
        <v>45939</v>
      </c>
      <c r="B49" t="s">
        <v>41</v>
      </c>
      <c r="C49" t="s">
        <v>13</v>
      </c>
      <c r="D49" t="s">
        <v>14</v>
      </c>
      <c r="E49">
        <v>5000</v>
      </c>
    </row>
    <row r="50" spans="1:5" x14ac:dyDescent="0.3">
      <c r="A50" s="4">
        <v>45944</v>
      </c>
      <c r="B50" t="s">
        <v>41</v>
      </c>
      <c r="C50" t="s">
        <v>15</v>
      </c>
      <c r="D50" t="s">
        <v>31</v>
      </c>
      <c r="E50">
        <v>3200</v>
      </c>
    </row>
    <row r="51" spans="1:5" x14ac:dyDescent="0.3">
      <c r="A51" s="4">
        <v>45950</v>
      </c>
      <c r="B51" t="s">
        <v>41</v>
      </c>
      <c r="C51" t="s">
        <v>18</v>
      </c>
      <c r="D51" t="s">
        <v>42</v>
      </c>
      <c r="E51">
        <v>3500</v>
      </c>
    </row>
    <row r="52" spans="1:5" x14ac:dyDescent="0.3">
      <c r="A52" s="4">
        <v>45956</v>
      </c>
      <c r="B52" t="s">
        <v>41</v>
      </c>
      <c r="C52" t="s">
        <v>20</v>
      </c>
      <c r="D52" t="s">
        <v>21</v>
      </c>
      <c r="E52">
        <v>2800</v>
      </c>
    </row>
    <row r="53" spans="1:5" x14ac:dyDescent="0.3">
      <c r="A53" s="4">
        <v>45966</v>
      </c>
      <c r="B53" t="s">
        <v>43</v>
      </c>
      <c r="C53" t="s">
        <v>11</v>
      </c>
      <c r="D53" t="s">
        <v>12</v>
      </c>
      <c r="E53">
        <v>12000</v>
      </c>
    </row>
    <row r="54" spans="1:5" x14ac:dyDescent="0.3">
      <c r="A54" s="4">
        <v>45969</v>
      </c>
      <c r="B54" t="s">
        <v>43</v>
      </c>
      <c r="C54" t="s">
        <v>13</v>
      </c>
      <c r="D54" t="s">
        <v>14</v>
      </c>
      <c r="E54">
        <v>4600</v>
      </c>
    </row>
    <row r="55" spans="1:5" x14ac:dyDescent="0.3">
      <c r="A55" s="4">
        <v>45974</v>
      </c>
      <c r="B55" t="s">
        <v>43</v>
      </c>
      <c r="C55" t="s">
        <v>15</v>
      </c>
      <c r="D55" t="s">
        <v>31</v>
      </c>
      <c r="E55">
        <v>3000</v>
      </c>
    </row>
    <row r="56" spans="1:5" x14ac:dyDescent="0.3">
      <c r="A56" s="4">
        <v>45980</v>
      </c>
      <c r="B56" t="s">
        <v>43</v>
      </c>
      <c r="C56" t="s">
        <v>18</v>
      </c>
      <c r="D56" t="s">
        <v>19</v>
      </c>
      <c r="E56">
        <v>2100</v>
      </c>
    </row>
    <row r="57" spans="1:5" x14ac:dyDescent="0.3">
      <c r="A57" s="4">
        <v>45986</v>
      </c>
      <c r="B57" t="s">
        <v>43</v>
      </c>
      <c r="C57" t="s">
        <v>20</v>
      </c>
      <c r="D57" t="s">
        <v>21</v>
      </c>
      <c r="E57">
        <v>2600</v>
      </c>
    </row>
    <row r="58" spans="1:5" x14ac:dyDescent="0.3">
      <c r="A58" s="4">
        <v>45996</v>
      </c>
      <c r="B58" t="s">
        <v>44</v>
      </c>
      <c r="C58" t="s">
        <v>11</v>
      </c>
      <c r="D58" t="s">
        <v>12</v>
      </c>
      <c r="E58">
        <v>12000</v>
      </c>
    </row>
    <row r="59" spans="1:5" x14ac:dyDescent="0.3">
      <c r="A59" s="4">
        <v>46000</v>
      </c>
      <c r="B59" t="s">
        <v>44</v>
      </c>
      <c r="C59" t="s">
        <v>13</v>
      </c>
      <c r="D59" t="s">
        <v>14</v>
      </c>
      <c r="E59">
        <v>5400</v>
      </c>
    </row>
    <row r="60" spans="1:5" x14ac:dyDescent="0.3">
      <c r="A60" s="4">
        <v>46005</v>
      </c>
      <c r="B60" t="s">
        <v>44</v>
      </c>
      <c r="C60" t="s">
        <v>15</v>
      </c>
      <c r="D60" t="s">
        <v>45</v>
      </c>
      <c r="E60">
        <v>3600</v>
      </c>
    </row>
    <row r="61" spans="1:5" x14ac:dyDescent="0.3">
      <c r="A61" s="4">
        <v>46011</v>
      </c>
      <c r="B61" t="s">
        <v>44</v>
      </c>
      <c r="C61" t="s">
        <v>18</v>
      </c>
      <c r="D61" t="s">
        <v>46</v>
      </c>
      <c r="E61">
        <v>4000</v>
      </c>
    </row>
    <row r="62" spans="1:5" x14ac:dyDescent="0.3">
      <c r="A62" s="4">
        <v>46017</v>
      </c>
      <c r="B62" t="s">
        <v>44</v>
      </c>
      <c r="C62" t="s">
        <v>20</v>
      </c>
      <c r="D62" t="s">
        <v>21</v>
      </c>
      <c r="E62">
        <v>3000</v>
      </c>
    </row>
    <row r="63" spans="1:5" x14ac:dyDescent="0.3">
      <c r="A63" s="4"/>
    </row>
    <row r="64" spans="1:5" x14ac:dyDescent="0.3">
      <c r="A64" s="4"/>
    </row>
    <row r="65" spans="1:1" x14ac:dyDescent="0.3">
      <c r="A65" s="4"/>
    </row>
    <row r="66" spans="1:1" x14ac:dyDescent="0.3">
      <c r="A66" s="4"/>
    </row>
    <row r="67" spans="1:1" x14ac:dyDescent="0.3">
      <c r="A67" s="4"/>
    </row>
    <row r="68" spans="1:1" x14ac:dyDescent="0.3">
      <c r="A68" s="4"/>
    </row>
    <row r="69" spans="1:1" x14ac:dyDescent="0.3">
      <c r="A69" s="4"/>
    </row>
    <row r="70" spans="1:1" x14ac:dyDescent="0.3">
      <c r="A70" s="4"/>
    </row>
    <row r="71" spans="1:1" x14ac:dyDescent="0.3">
      <c r="A71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RAGHU KOMARABATTINA</dc:creator>
  <cp:lastModifiedBy>RAGHU KOMARABATTINA</cp:lastModifiedBy>
  <dcterms:created xsi:type="dcterms:W3CDTF">2026-01-20T04:18:20Z</dcterms:created>
  <dcterms:modified xsi:type="dcterms:W3CDTF">2026-01-20T04:20:30Z</dcterms:modified>
</cp:coreProperties>
</file>